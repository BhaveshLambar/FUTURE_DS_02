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esh\OneDrive - Shri Vile Parle Kelavani Mandal\Documents\Data_Analyst_Projects\Saas_Subscription_Analysis_&amp;_Churn_Retention_Project\"/>
    </mc:Choice>
  </mc:AlternateContent>
  <xr:revisionPtr revIDLastSave="0" documentId="13_ncr:1_{AD38B2AF-9223-44BD-ADD6-4D14545A374E}" xr6:coauthVersionLast="47" xr6:coauthVersionMax="47" xr10:uidLastSave="{00000000-0000-0000-0000-000000000000}"/>
  <bookViews>
    <workbookView xWindow="-108" yWindow="-108" windowWidth="23256" windowHeight="12456" firstSheet="1" activeTab="1" xr2:uid="{A091331C-E5C2-49AC-80E6-D5F5C32EF00E}"/>
  </bookViews>
  <sheets>
    <sheet name="Dashboard" sheetId="10" r:id="rId1"/>
    <sheet name="Insights" sheetId="4" r:id="rId2"/>
    <sheet name="churn_reasons" sheetId="9" r:id="rId3"/>
    <sheet name="churn_trend_over_time" sheetId="11" r:id="rId4"/>
    <sheet name="support_vs_churn" sheetId="12" r:id="rId5"/>
    <sheet name="tenure_distribution" sheetId="8" r:id="rId6"/>
    <sheet name="churn_by_plan" sheetId="7" r:id="rId7"/>
    <sheet name="Data_Cohorts" sheetId="1" r:id="rId8"/>
    <sheet name="Data_KPIs" sheetId="2" r:id="rId9"/>
  </sheets>
  <definedNames>
    <definedName name="ExternalData_1" localSheetId="7" hidden="1">Data_Cohorts!$A$1:$G$25</definedName>
    <definedName name="ExternalData_1" localSheetId="8" hidden="1">Data_KPIs!$A$1:$B$6</definedName>
    <definedName name="ExternalData_2" localSheetId="6" hidden="1">'churn_by_plan'!$A$1:$D$4</definedName>
    <definedName name="ExternalData_3" localSheetId="5" hidden="1">tenure_distribution!$A$1:$B$7</definedName>
    <definedName name="ExternalData_4" localSheetId="2" hidden="1">'churn_reasons'!$A$1:$B$7</definedName>
    <definedName name="ExternalData_4" localSheetId="3" hidden="1">'churn_trend_over_time'!$A$1:$B$24</definedName>
    <definedName name="ExternalData_4" localSheetId="4" hidden="1">support_vs_churn!$A$1:$C$3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0" l="1"/>
  <c r="I3" i="10"/>
  <c r="E3" i="10"/>
  <c r="A3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0ACBD6-C0F9-455B-AC44-1FA6A33D5FB0}" keepAlive="1" name="Query - churn_by_plan" description="Connection to the 'churn_by_plan' query in the workbook." type="5" refreshedVersion="8" background="1" saveData="1">
    <dbPr connection="Provider=Microsoft.Mashup.OleDb.1;Data Source=$Workbook$;Location=churn_by_plan;Extended Properties=&quot;&quot;" command="SELECT * FROM [churn_by_plan]"/>
  </connection>
  <connection id="2" xr16:uid="{630FD599-E3E3-4543-8EB6-1E0CEEB474D0}" keepAlive="1" name="Query - churn_reasons" description="Connection to the 'churn_reasons' query in the workbook." type="5" refreshedVersion="8" background="1" saveData="1">
    <dbPr connection="Provider=Microsoft.Mashup.OleDb.1;Data Source=$Workbook$;Location=churn_reasons;Extended Properties=&quot;&quot;" command="SELECT * FROM [churn_reasons]"/>
  </connection>
  <connection id="3" xr16:uid="{DE7DD8BD-E4E7-4A12-8E68-F05D407AF53F}" keepAlive="1" name="Query - churn_trend_over_time" description="Connection to the 'churn_trend_over_time' query in the workbook." type="5" refreshedVersion="8" background="1" saveData="1">
    <dbPr connection="Provider=Microsoft.Mashup.OleDb.1;Data Source=$Workbook$;Location=churn_trend_over_time;Extended Properties=&quot;&quot;" command="SELECT * FROM [churn_trend_over_time]"/>
  </connection>
  <connection id="4" xr16:uid="{081D0FF4-645E-4B77-8E57-49F209B5C5B6}" keepAlive="1" name="Query - kpi_summary" description="Connection to the 'kpi_summary' query in the workbook." type="5" refreshedVersion="8" background="1" saveData="1">
    <dbPr connection="Provider=Microsoft.Mashup.OleDb.1;Data Source=$Workbook$;Location=kpi_summary;Extended Properties=&quot;&quot;" command="SELECT * FROM [kpi_summary]"/>
  </connection>
  <connection id="5" xr16:uid="{0BF8625B-BD50-439C-8CB7-2292F95D0471}" keepAlive="1" name="Query - retention_cohort_matrix" description="Connection to the 'retention_cohort_matrix' query in the workbook." type="5" refreshedVersion="8" background="1" saveData="1">
    <dbPr connection="Provider=Microsoft.Mashup.OleDb.1;Data Source=$Workbook$;Location=retention_cohort_matrix;Extended Properties=&quot;&quot;" command="SELECT * FROM [retention_cohort_matrix]"/>
  </connection>
  <connection id="6" xr16:uid="{FC9A0709-2BC4-4141-9EBE-DD9C1B006416}" keepAlive="1" name="Query - retention_cohort_matrix (2)" description="Connection to the 'retention_cohort_matrix (2)' query in the workbook." type="5" refreshedVersion="8" background="1" saveData="1">
    <dbPr connection="Provider=Microsoft.Mashup.OleDb.1;Data Source=$Workbook$;Location=&quot;retention_cohort_matrix (2)&quot;;Extended Properties=&quot;&quot;" command="SELECT * FROM [retention_cohort_matrix (2)]"/>
  </connection>
  <connection id="7" xr16:uid="{A4473127-2C9A-4CFE-9A89-D6444755517F}" keepAlive="1" name="Query - support_vs_churn" description="Connection to the 'support_vs_churn' query in the workbook." type="5" refreshedVersion="8" background="1" saveData="1">
    <dbPr connection="Provider=Microsoft.Mashup.OleDb.1;Data Source=$Workbook$;Location=support_vs_churn;Extended Properties=&quot;&quot;" command="SELECT * FROM [support_vs_churn]"/>
  </connection>
  <connection id="8" xr16:uid="{542AC255-67EC-4242-B054-D9BBB87EA280}" keepAlive="1" name="Query - tenure_distribution" description="Connection to the 'tenure_distribution' query in the workbook." type="5" refreshedVersion="8" background="1" saveData="1">
    <dbPr connection="Provider=Microsoft.Mashup.OleDb.1;Data Source=$Workbook$;Location=tenure_distribution;Extended Properties=&quot;&quot;" command="SELECT * FROM [tenure_distribution]"/>
  </connection>
</connections>
</file>

<file path=xl/sharedStrings.xml><?xml version="1.0" encoding="utf-8"?>
<sst xmlns="http://schemas.openxmlformats.org/spreadsheetml/2006/main" count="60" uniqueCount="54">
  <si>
    <t>cohort_month</t>
  </si>
  <si>
    <t>&lt;1m</t>
  </si>
  <si>
    <t>1–3m</t>
  </si>
  <si>
    <t>3–6m</t>
  </si>
  <si>
    <t>6–12m</t>
  </si>
  <si>
    <t>1–2y</t>
  </si>
  <si>
    <t>2y+</t>
  </si>
  <si>
    <t>Metric</t>
  </si>
  <si>
    <t>Value</t>
  </si>
  <si>
    <t>Total Customers</t>
  </si>
  <si>
    <t>Churned Customers</t>
  </si>
  <si>
    <t>Overall Churn Rate</t>
  </si>
  <si>
    <t>Average Tenure (Months)</t>
  </si>
  <si>
    <t>Early Churn (&lt;3 months)</t>
  </si>
  <si>
    <t>current_plan</t>
  </si>
  <si>
    <t>customers</t>
  </si>
  <si>
    <t>churned</t>
  </si>
  <si>
    <t>churn_rate</t>
  </si>
  <si>
    <t>Basic</t>
  </si>
  <si>
    <t>Enterprise</t>
  </si>
  <si>
    <t>Pro</t>
  </si>
  <si>
    <t>tenure_bucket</t>
  </si>
  <si>
    <t>&lt;1 Month</t>
  </si>
  <si>
    <t>1–3 Months</t>
  </si>
  <si>
    <t>3–6 Months</t>
  </si>
  <si>
    <t>6–12 Months</t>
  </si>
  <si>
    <t>1–2 Years</t>
  </si>
  <si>
    <t>2+ Years</t>
  </si>
  <si>
    <t>reason_code</t>
  </si>
  <si>
    <t>churn_count</t>
  </si>
  <si>
    <t>budget</t>
  </si>
  <si>
    <t>competitor</t>
  </si>
  <si>
    <t>features</t>
  </si>
  <si>
    <t>pricing</t>
  </si>
  <si>
    <t>support</t>
  </si>
  <si>
    <t>unknown</t>
  </si>
  <si>
    <t>churn_month</t>
  </si>
  <si>
    <t>churned_customers</t>
  </si>
  <si>
    <t>avg_tickets</t>
  </si>
  <si>
    <t>avg_resolution_time</t>
  </si>
  <si>
    <t>Active</t>
  </si>
  <si>
    <t>Churned</t>
  </si>
  <si>
    <t>Early-Stage Churn Is a Major Risk</t>
  </si>
  <si>
    <r>
      <t xml:space="preserve">A significant share of customer churn occurs within the </t>
    </r>
    <r>
      <rPr>
        <b/>
        <sz val="11"/>
        <color theme="1"/>
        <rFont val="Calibri"/>
        <family val="2"/>
        <scheme val="minor"/>
      </rPr>
      <t>first 1–3 months after signup</t>
    </r>
    <r>
      <rPr>
        <sz val="11"/>
        <color theme="1"/>
        <rFont val="Calibri"/>
        <family val="2"/>
        <scheme val="minor"/>
      </rPr>
      <t>, indicating that onboarding and early value realization are critical to retention.</t>
    </r>
  </si>
  <si>
    <r>
      <t xml:space="preserve">Customers on lower-tier plans experience </t>
    </r>
    <r>
      <rPr>
        <b/>
        <sz val="11"/>
        <color theme="1"/>
        <rFont val="Calibri"/>
        <family val="2"/>
        <scheme val="minor"/>
      </rPr>
      <t>higher churn rates</t>
    </r>
    <r>
      <rPr>
        <sz val="11"/>
        <color theme="1"/>
        <rFont val="Calibri"/>
        <family val="2"/>
        <scheme val="minor"/>
      </rPr>
      <t xml:space="preserve"> compared to Pro and Enterprise plans, suggesting potential gaps in perceived value or feature limitations at entry-level pricing.</t>
    </r>
  </si>
  <si>
    <r>
      <t xml:space="preserve">Customers who remain active beyond </t>
    </r>
    <r>
      <rPr>
        <b/>
        <sz val="11"/>
        <color theme="1"/>
        <rFont val="Calibri"/>
        <family val="2"/>
        <scheme val="minor"/>
      </rPr>
      <t>6 months</t>
    </r>
    <r>
      <rPr>
        <sz val="11"/>
        <color theme="1"/>
        <rFont val="Calibri"/>
        <family val="2"/>
        <scheme val="minor"/>
      </rPr>
      <t xml:space="preserve"> show significantly higher retention, highlighting a key “retention threshold” after which churn risk drops substantially.</t>
    </r>
  </si>
  <si>
    <r>
      <t xml:space="preserve">Churned customers tend to have </t>
    </r>
    <r>
      <rPr>
        <b/>
        <sz val="11"/>
        <color theme="1"/>
        <rFont val="Calibri"/>
        <family val="2"/>
        <scheme val="minor"/>
      </rPr>
      <t>higher support ticket volumes and longer resolution times</t>
    </r>
    <r>
      <rPr>
        <sz val="11"/>
        <color theme="1"/>
        <rFont val="Calibri"/>
        <family val="2"/>
        <scheme val="minor"/>
      </rPr>
      <t>, indicating that unresolved issues and service friction contribute directly to churn behavior.</t>
    </r>
  </si>
  <si>
    <r>
      <t xml:space="preserve">Monthly churn levels fluctuate over time, suggesting that churn is influenced by </t>
    </r>
    <r>
      <rPr>
        <b/>
        <sz val="11"/>
        <color theme="1"/>
        <rFont val="Calibri"/>
        <family val="2"/>
        <scheme val="minor"/>
      </rPr>
      <t>periodic factors</t>
    </r>
    <r>
      <rPr>
        <sz val="11"/>
        <color theme="1"/>
        <rFont val="Calibri"/>
        <family val="2"/>
        <scheme val="minor"/>
      </rPr>
      <t xml:space="preserve"> such as pricing changes, product updates, or seasonal behavior.</t>
    </r>
  </si>
  <si>
    <r>
      <t xml:space="preserve">Churn reasons are most commonly associated with </t>
    </r>
    <r>
      <rPr>
        <b/>
        <sz val="11"/>
        <color theme="1"/>
        <rFont val="Calibri"/>
        <family val="2"/>
        <scheme val="minor"/>
      </rPr>
      <t>pricing concerns and feature limitations</t>
    </r>
    <r>
      <rPr>
        <sz val="11"/>
        <color theme="1"/>
        <rFont val="Calibri"/>
        <family val="2"/>
        <scheme val="minor"/>
      </rPr>
      <t>, reinforcing the importance of value communication and product alignment with customer needs.</t>
    </r>
  </si>
  <si>
    <t>Basic Plan Customers Show Higher Churn</t>
  </si>
  <si>
    <t>Customer Tenure Strongly Correlates with Retention</t>
  </si>
  <si>
    <t>Support Friction Is Linked to Churn</t>
  </si>
  <si>
    <t>Churn Trends Vary Over Time</t>
  </si>
  <si>
    <t>Pricing and Product Experience Drive Churn 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</si>
</sst>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64748B"/>
      <color rgb="FF0EA5A4"/>
      <color rgb="FF2563EB"/>
      <color rgb="FF38BDF8"/>
      <color rgb="FFE5F3FF"/>
      <color rgb="FFF7F9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Plan Tier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'churn_by_plan'!$D$1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rgbClr val="2563EB"/>
            </a:solidFill>
            <a:ln>
              <a:noFill/>
            </a:ln>
            <a:effectLst/>
          </c:spPr>
          <c:invertIfNegative val="0"/>
          <c:cat>
            <c:strRef>
              <c:f>'churn_by_plan'!$A$2:$A$4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'churn_by_plan'!$D$2:$D$4</c:f>
              <c:numCache>
                <c:formatCode>General</c:formatCode>
                <c:ptCount val="3"/>
                <c:pt idx="0">
                  <c:v>0.69374999999999998</c:v>
                </c:pt>
                <c:pt idx="1">
                  <c:v>0.72777777777777775</c:v>
                </c:pt>
                <c:pt idx="2">
                  <c:v>0.6875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6-48F8-AA4B-380DC2A0F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7022992"/>
        <c:axId val="637022512"/>
      </c:barChart>
      <c:catAx>
        <c:axId val="637022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022512"/>
        <c:crosses val="autoZero"/>
        <c:auto val="1"/>
        <c:lblAlgn val="ctr"/>
        <c:lblOffset val="100"/>
        <c:noMultiLvlLbl val="0"/>
      </c:catAx>
      <c:valAx>
        <c:axId val="6370225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02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Tenure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tenure_distribution!$B$1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0EA5A4"/>
            </a:solidFill>
            <a:ln>
              <a:noFill/>
            </a:ln>
            <a:effectLst/>
          </c:spPr>
          <c:invertIfNegative val="0"/>
          <c:cat>
            <c:strRef>
              <c:f>tenure_distribution!$A$2:$A$7</c:f>
              <c:strCache>
                <c:ptCount val="6"/>
                <c:pt idx="0">
                  <c:v>&lt;1 Month</c:v>
                </c:pt>
                <c:pt idx="1">
                  <c:v>1–3 Months</c:v>
                </c:pt>
                <c:pt idx="2">
                  <c:v>3–6 Months</c:v>
                </c:pt>
                <c:pt idx="3">
                  <c:v>6–12 Months</c:v>
                </c:pt>
                <c:pt idx="4">
                  <c:v>1–2 Years</c:v>
                </c:pt>
                <c:pt idx="5">
                  <c:v>2+ Years</c:v>
                </c:pt>
              </c:strCache>
            </c:strRef>
          </c:cat>
          <c:val>
            <c:numRef>
              <c:f>tenure_distribution!$B$2:$B$7</c:f>
              <c:numCache>
                <c:formatCode>General</c:formatCode>
                <c:ptCount val="6"/>
                <c:pt idx="0">
                  <c:v>43</c:v>
                </c:pt>
                <c:pt idx="1">
                  <c:v>64</c:v>
                </c:pt>
                <c:pt idx="2">
                  <c:v>60</c:v>
                </c:pt>
                <c:pt idx="3">
                  <c:v>77</c:v>
                </c:pt>
                <c:pt idx="4">
                  <c:v>148</c:v>
                </c:pt>
                <c:pt idx="5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D-4A77-B3D7-D8CF05298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132544"/>
        <c:axId val="183138304"/>
      </c:barChart>
      <c:catAx>
        <c:axId val="183132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38304"/>
        <c:crosses val="autoZero"/>
        <c:auto val="1"/>
        <c:lblAlgn val="ctr"/>
        <c:lblOffset val="100"/>
        <c:noMultiLvlLbl val="0"/>
      </c:catAx>
      <c:valAx>
        <c:axId val="18313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3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Reasons</a:t>
            </a:r>
            <a:r>
              <a:rPr lang="en-US" baseline="0"/>
              <a:t> for Customer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'churn_reasons'!$B$1</c:f>
              <c:strCache>
                <c:ptCount val="1"/>
                <c:pt idx="0">
                  <c:v>churn_count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9D-4BAA-BFA9-17C7DF5D2B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9D-4BAA-BFA9-17C7DF5D2B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9D-4BAA-BFA9-17C7DF5D2B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9D-4BAA-BFA9-17C7DF5D2B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29D-4BAA-BFA9-17C7DF5D2B9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29D-4BAA-BFA9-17C7DF5D2B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'churn_reasons'!$A$2:$A$7</c:f>
              <c:strCache>
                <c:ptCount val="6"/>
                <c:pt idx="0">
                  <c:v>budget</c:v>
                </c:pt>
                <c:pt idx="1">
                  <c:v>competitor</c:v>
                </c:pt>
                <c:pt idx="2">
                  <c:v>features</c:v>
                </c:pt>
                <c:pt idx="3">
                  <c:v>pricing</c:v>
                </c:pt>
                <c:pt idx="4">
                  <c:v>support</c:v>
                </c:pt>
                <c:pt idx="5">
                  <c:v>unknown</c:v>
                </c:pt>
              </c:strCache>
            </c:strRef>
          </c:cat>
          <c:val>
            <c:numRef>
              <c:f>'churn_reasons'!$B$2:$B$7</c:f>
              <c:numCache>
                <c:formatCode>General</c:formatCode>
                <c:ptCount val="6"/>
                <c:pt idx="0">
                  <c:v>104</c:v>
                </c:pt>
                <c:pt idx="1">
                  <c:v>92</c:v>
                </c:pt>
                <c:pt idx="2">
                  <c:v>114</c:v>
                </c:pt>
                <c:pt idx="3">
                  <c:v>91</c:v>
                </c:pt>
                <c:pt idx="4">
                  <c:v>104</c:v>
                </c:pt>
                <c:pt idx="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29D-4BAA-BFA9-17C7DF5D2B9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Customer Churn Trend</a:t>
            </a:r>
            <a:endParaRPr lang="en-US"/>
          </a:p>
        </c:rich>
      </c:tx>
      <c:layout>
        <c:manualLayout>
          <c:xMode val="edge"/>
          <c:yMode val="edge"/>
          <c:x val="0.37798600451186698"/>
          <c:y val="9.3966369930761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'churn_trend_over_time'!$B$1</c:f>
              <c:strCache>
                <c:ptCount val="1"/>
                <c:pt idx="0">
                  <c:v>churned_customers</c:v>
                </c:pt>
              </c:strCache>
            </c:strRef>
          </c:tx>
          <c:spPr>
            <a:ln w="28575" cap="rnd">
              <a:solidFill>
                <a:srgbClr val="0EA5A4"/>
              </a:solidFill>
              <a:round/>
            </a:ln>
            <a:effectLst/>
          </c:spPr>
          <c:marker>
            <c:symbol val="none"/>
          </c:marker>
          <c:dPt>
            <c:idx val="19"/>
            <c:marker>
              <c:symbol val="none"/>
            </c:marker>
            <c:bubble3D val="0"/>
            <c:spPr>
              <a:ln w="28575" cap="rnd">
                <a:solidFill>
                  <a:srgbClr val="0EA5A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14-45E1-A990-2AC87C5B6298}"/>
              </c:ext>
            </c:extLst>
          </c:dPt>
          <c:cat>
            <c:numRef>
              <c:f>'churn_trend_over_time'!$A$2:$A$24</c:f>
              <c:numCache>
                <c:formatCode>m/d/yyyy</c:formatCode>
                <c:ptCount val="23"/>
                <c:pt idx="0">
                  <c:v>44927</c:v>
                </c:pt>
                <c:pt idx="1">
                  <c:v>44986</c:v>
                </c:pt>
                <c:pt idx="2">
                  <c:v>45017</c:v>
                </c:pt>
                <c:pt idx="3">
                  <c:v>45047</c:v>
                </c:pt>
                <c:pt idx="4">
                  <c:v>45078</c:v>
                </c:pt>
                <c:pt idx="5">
                  <c:v>45108</c:v>
                </c:pt>
                <c:pt idx="6">
                  <c:v>45139</c:v>
                </c:pt>
                <c:pt idx="7">
                  <c:v>45170</c:v>
                </c:pt>
                <c:pt idx="8">
                  <c:v>45200</c:v>
                </c:pt>
                <c:pt idx="9">
                  <c:v>45231</c:v>
                </c:pt>
                <c:pt idx="10">
                  <c:v>45261</c:v>
                </c:pt>
                <c:pt idx="11">
                  <c:v>45292</c:v>
                </c:pt>
                <c:pt idx="12">
                  <c:v>45323</c:v>
                </c:pt>
                <c:pt idx="13">
                  <c:v>45352</c:v>
                </c:pt>
                <c:pt idx="14">
                  <c:v>45383</c:v>
                </c:pt>
                <c:pt idx="15">
                  <c:v>45413</c:v>
                </c:pt>
                <c:pt idx="16">
                  <c:v>45444</c:v>
                </c:pt>
                <c:pt idx="17">
                  <c:v>45474</c:v>
                </c:pt>
                <c:pt idx="18">
                  <c:v>45505</c:v>
                </c:pt>
                <c:pt idx="19">
                  <c:v>45536</c:v>
                </c:pt>
                <c:pt idx="20">
                  <c:v>45566</c:v>
                </c:pt>
                <c:pt idx="21">
                  <c:v>45597</c:v>
                </c:pt>
                <c:pt idx="22">
                  <c:v>45627</c:v>
                </c:pt>
              </c:numCache>
            </c:numRef>
          </c:cat>
          <c:val>
            <c:numRef>
              <c:f>'churn_trend_over_time'!$B$2:$B$24</c:f>
              <c:numCache>
                <c:formatCode>General</c:formatCode>
                <c:ptCount val="23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10</c:v>
                </c:pt>
                <c:pt idx="9">
                  <c:v>11</c:v>
                </c:pt>
                <c:pt idx="10">
                  <c:v>16</c:v>
                </c:pt>
                <c:pt idx="11">
                  <c:v>18</c:v>
                </c:pt>
                <c:pt idx="12">
                  <c:v>10</c:v>
                </c:pt>
                <c:pt idx="13">
                  <c:v>24</c:v>
                </c:pt>
                <c:pt idx="14">
                  <c:v>23</c:v>
                </c:pt>
                <c:pt idx="15">
                  <c:v>25</c:v>
                </c:pt>
                <c:pt idx="16">
                  <c:v>38</c:v>
                </c:pt>
                <c:pt idx="17">
                  <c:v>33</c:v>
                </c:pt>
                <c:pt idx="18">
                  <c:v>40</c:v>
                </c:pt>
                <c:pt idx="19">
                  <c:v>48</c:v>
                </c:pt>
                <c:pt idx="20">
                  <c:v>60</c:v>
                </c:pt>
                <c:pt idx="21">
                  <c:v>60</c:v>
                </c:pt>
                <c:pt idx="22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14-45E1-A990-2AC87C5B6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186304"/>
        <c:axId val="183180064"/>
      </c:lineChart>
      <c:dateAx>
        <c:axId val="183186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80064"/>
        <c:crosses val="autoZero"/>
        <c:auto val="1"/>
        <c:lblOffset val="100"/>
        <c:baseTimeUnit val="months"/>
      </c:dateAx>
      <c:valAx>
        <c:axId val="1831800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Customer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8630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Support</a:t>
            </a:r>
            <a:r>
              <a:rPr lang="en-US" baseline="0"/>
              <a:t> Ticket Volume Vs Churn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support_vs_churn!$B$1</c:f>
              <c:strCache>
                <c:ptCount val="1"/>
                <c:pt idx="0">
                  <c:v>avg_tickets</c:v>
                </c:pt>
              </c:strCache>
            </c:strRef>
          </c:tx>
          <c:spPr>
            <a:solidFill>
              <a:srgbClr val="2563EB"/>
            </a:solidFill>
            <a:ln>
              <a:noFill/>
            </a:ln>
            <a:effectLst/>
          </c:spPr>
          <c:invertIfNegative val="0"/>
          <c:cat>
            <c:strRef>
              <c:f>support_vs_churn!$A$2:$A$3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support_vs_churn!$B$2:$B$3</c:f>
              <c:numCache>
                <c:formatCode>General</c:formatCode>
                <c:ptCount val="2"/>
                <c:pt idx="0">
                  <c:v>4.0878378378378377</c:v>
                </c:pt>
                <c:pt idx="1">
                  <c:v>3.9630681818181817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C-46ED-89B2-DA123D9C8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64704"/>
        <c:axId val="183179584"/>
      </c:barChart>
      <c:catAx>
        <c:axId val="18316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79584"/>
        <c:crosses val="autoZero"/>
        <c:auto val="1"/>
        <c:lblAlgn val="ctr"/>
        <c:lblOffset val="100"/>
        <c:noMultiLvlLbl val="0"/>
      </c:catAx>
      <c:valAx>
        <c:axId val="183179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6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Reasons</a:t>
            </a:r>
            <a:r>
              <a:rPr lang="en-US" baseline="0"/>
              <a:t> for Customer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'churn_reasons'!$B$1</c:f>
              <c:strCache>
                <c:ptCount val="1"/>
                <c:pt idx="0">
                  <c:v>churn_count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'churn_reasons'!$A$2:$A$7</c:f>
              <c:strCache>
                <c:ptCount val="6"/>
                <c:pt idx="0">
                  <c:v>budget</c:v>
                </c:pt>
                <c:pt idx="1">
                  <c:v>competitor</c:v>
                </c:pt>
                <c:pt idx="2">
                  <c:v>features</c:v>
                </c:pt>
                <c:pt idx="3">
                  <c:v>pricing</c:v>
                </c:pt>
                <c:pt idx="4">
                  <c:v>support</c:v>
                </c:pt>
                <c:pt idx="5">
                  <c:v>unknown</c:v>
                </c:pt>
              </c:strCache>
            </c:strRef>
          </c:cat>
          <c:val>
            <c:numRef>
              <c:f>'churn_reasons'!$B$2:$B$7</c:f>
              <c:numCache>
                <c:formatCode>General</c:formatCode>
                <c:ptCount val="6"/>
                <c:pt idx="0">
                  <c:v>104</c:v>
                </c:pt>
                <c:pt idx="1">
                  <c:v>92</c:v>
                </c:pt>
                <c:pt idx="2">
                  <c:v>114</c:v>
                </c:pt>
                <c:pt idx="3">
                  <c:v>91</c:v>
                </c:pt>
                <c:pt idx="4">
                  <c:v>104</c:v>
                </c:pt>
                <c:pt idx="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0-4DF7-832D-268B6016527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Customer Churn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'churn_trend_over_time'!$B$1</c:f>
              <c:strCache>
                <c:ptCount val="1"/>
                <c:pt idx="0">
                  <c:v>churned_customers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'churn_trend_over_time'!$A$2:$A$24</c:f>
              <c:numCache>
                <c:formatCode>m/d/yyyy</c:formatCode>
                <c:ptCount val="23"/>
                <c:pt idx="0">
                  <c:v>44927</c:v>
                </c:pt>
                <c:pt idx="1">
                  <c:v>44986</c:v>
                </c:pt>
                <c:pt idx="2">
                  <c:v>45017</c:v>
                </c:pt>
                <c:pt idx="3">
                  <c:v>45047</c:v>
                </c:pt>
                <c:pt idx="4">
                  <c:v>45078</c:v>
                </c:pt>
                <c:pt idx="5">
                  <c:v>45108</c:v>
                </c:pt>
                <c:pt idx="6">
                  <c:v>45139</c:v>
                </c:pt>
                <c:pt idx="7">
                  <c:v>45170</c:v>
                </c:pt>
                <c:pt idx="8">
                  <c:v>45200</c:v>
                </c:pt>
                <c:pt idx="9">
                  <c:v>45231</c:v>
                </c:pt>
                <c:pt idx="10">
                  <c:v>45261</c:v>
                </c:pt>
                <c:pt idx="11">
                  <c:v>45292</c:v>
                </c:pt>
                <c:pt idx="12">
                  <c:v>45323</c:v>
                </c:pt>
                <c:pt idx="13">
                  <c:v>45352</c:v>
                </c:pt>
                <c:pt idx="14">
                  <c:v>45383</c:v>
                </c:pt>
                <c:pt idx="15">
                  <c:v>45413</c:v>
                </c:pt>
                <c:pt idx="16">
                  <c:v>45444</c:v>
                </c:pt>
                <c:pt idx="17">
                  <c:v>45474</c:v>
                </c:pt>
                <c:pt idx="18">
                  <c:v>45505</c:v>
                </c:pt>
                <c:pt idx="19">
                  <c:v>45536</c:v>
                </c:pt>
                <c:pt idx="20">
                  <c:v>45566</c:v>
                </c:pt>
                <c:pt idx="21">
                  <c:v>45597</c:v>
                </c:pt>
                <c:pt idx="22">
                  <c:v>45627</c:v>
                </c:pt>
              </c:numCache>
            </c:numRef>
          </c:cat>
          <c:val>
            <c:numRef>
              <c:f>'churn_trend_over_time'!$B$2:$B$24</c:f>
              <c:numCache>
                <c:formatCode>General</c:formatCode>
                <c:ptCount val="23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10</c:v>
                </c:pt>
                <c:pt idx="9">
                  <c:v>11</c:v>
                </c:pt>
                <c:pt idx="10">
                  <c:v>16</c:v>
                </c:pt>
                <c:pt idx="11">
                  <c:v>18</c:v>
                </c:pt>
                <c:pt idx="12">
                  <c:v>10</c:v>
                </c:pt>
                <c:pt idx="13">
                  <c:v>24</c:v>
                </c:pt>
                <c:pt idx="14">
                  <c:v>23</c:v>
                </c:pt>
                <c:pt idx="15">
                  <c:v>25</c:v>
                </c:pt>
                <c:pt idx="16">
                  <c:v>38</c:v>
                </c:pt>
                <c:pt idx="17">
                  <c:v>33</c:v>
                </c:pt>
                <c:pt idx="18">
                  <c:v>40</c:v>
                </c:pt>
                <c:pt idx="19">
                  <c:v>48</c:v>
                </c:pt>
                <c:pt idx="20">
                  <c:v>60</c:v>
                </c:pt>
                <c:pt idx="21">
                  <c:v>60</c:v>
                </c:pt>
                <c:pt idx="22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2E-4B04-A511-A65056134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186304"/>
        <c:axId val="183180064"/>
      </c:lineChart>
      <c:dateAx>
        <c:axId val="183186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80064"/>
        <c:crosses val="autoZero"/>
        <c:auto val="1"/>
        <c:lblOffset val="100"/>
        <c:baseTimeUnit val="months"/>
      </c:dateAx>
      <c:valAx>
        <c:axId val="1831800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Customer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8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Support</a:t>
            </a:r>
            <a:r>
              <a:rPr lang="en-US" baseline="0"/>
              <a:t> Ticket Volume Vs Churn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support_vs_churn!$B$1</c:f>
              <c:strCache>
                <c:ptCount val="1"/>
                <c:pt idx="0">
                  <c:v>avg_tickets</c:v>
                </c:pt>
              </c:strCache>
            </c:strRef>
          </c:tx>
          <c:spPr>
            <a:solidFill>
              <a:srgbClr val="0EA5A4"/>
            </a:solidFill>
            <a:ln>
              <a:noFill/>
            </a:ln>
            <a:effectLst/>
          </c:spPr>
          <c:invertIfNegative val="0"/>
          <c:cat>
            <c:strRef>
              <c:f>support_vs_churn!$A$2:$A$3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support_vs_churn!$B$2:$B$3</c:f>
              <c:numCache>
                <c:formatCode>General</c:formatCode>
                <c:ptCount val="2"/>
                <c:pt idx="0">
                  <c:v>4.0878378378378377</c:v>
                </c:pt>
                <c:pt idx="1">
                  <c:v>3.9630681818181817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8-470D-92E9-1FACAB43F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64704"/>
        <c:axId val="183179584"/>
      </c:barChart>
      <c:catAx>
        <c:axId val="18316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79584"/>
        <c:crosses val="autoZero"/>
        <c:auto val="1"/>
        <c:lblAlgn val="ctr"/>
        <c:lblOffset val="100"/>
        <c:noMultiLvlLbl val="0"/>
      </c:catAx>
      <c:valAx>
        <c:axId val="183179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6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Tenure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tenure_distribution!$B$1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0EA5A4"/>
            </a:solidFill>
            <a:ln>
              <a:noFill/>
            </a:ln>
            <a:effectLst/>
          </c:spPr>
          <c:invertIfNegative val="0"/>
          <c:cat>
            <c:strRef>
              <c:f>tenure_distribution!$A$2:$A$7</c:f>
              <c:strCache>
                <c:ptCount val="6"/>
                <c:pt idx="0">
                  <c:v>&lt;1 Month</c:v>
                </c:pt>
                <c:pt idx="1">
                  <c:v>1–3 Months</c:v>
                </c:pt>
                <c:pt idx="2">
                  <c:v>3–6 Months</c:v>
                </c:pt>
                <c:pt idx="3">
                  <c:v>6–12 Months</c:v>
                </c:pt>
                <c:pt idx="4">
                  <c:v>1–2 Years</c:v>
                </c:pt>
                <c:pt idx="5">
                  <c:v>2+ Years</c:v>
                </c:pt>
              </c:strCache>
            </c:strRef>
          </c:cat>
          <c:val>
            <c:numRef>
              <c:f>tenure_distribution!$B$2:$B$7</c:f>
              <c:numCache>
                <c:formatCode>General</c:formatCode>
                <c:ptCount val="6"/>
                <c:pt idx="0">
                  <c:v>43</c:v>
                </c:pt>
                <c:pt idx="1">
                  <c:v>64</c:v>
                </c:pt>
                <c:pt idx="2">
                  <c:v>60</c:v>
                </c:pt>
                <c:pt idx="3">
                  <c:v>77</c:v>
                </c:pt>
                <c:pt idx="4">
                  <c:v>148</c:v>
                </c:pt>
                <c:pt idx="5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8-4640-8D8C-79B98F0EE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132544"/>
        <c:axId val="183138304"/>
      </c:barChart>
      <c:catAx>
        <c:axId val="183132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38304"/>
        <c:crosses val="autoZero"/>
        <c:auto val="1"/>
        <c:lblAlgn val="ctr"/>
        <c:lblOffset val="100"/>
        <c:noMultiLvlLbl val="0"/>
      </c:catAx>
      <c:valAx>
        <c:axId val="18313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3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Plan Tier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'churn_by_plan'!$D$1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rgbClr val="2563EB"/>
            </a:solidFill>
            <a:ln>
              <a:noFill/>
            </a:ln>
            <a:effectLst/>
          </c:spPr>
          <c:invertIfNegative val="0"/>
          <c:cat>
            <c:strRef>
              <c:f>'churn_by_plan'!$A$2:$A$4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'churn_by_plan'!$D$2:$D$4</c:f>
              <c:numCache>
                <c:formatCode>General</c:formatCode>
                <c:ptCount val="3"/>
                <c:pt idx="0">
                  <c:v>0.69374999999999998</c:v>
                </c:pt>
                <c:pt idx="1">
                  <c:v>0.72777777777777775</c:v>
                </c:pt>
                <c:pt idx="2">
                  <c:v>0.6875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2-4C99-819A-9F606ADE8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7022992"/>
        <c:axId val="637022512"/>
      </c:barChart>
      <c:catAx>
        <c:axId val="637022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022512"/>
        <c:crosses val="autoZero"/>
        <c:auto val="1"/>
        <c:lblAlgn val="ctr"/>
        <c:lblOffset val="100"/>
        <c:noMultiLvlLbl val="0"/>
      </c:catAx>
      <c:valAx>
        <c:axId val="6370225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02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19</xdr:row>
      <xdr:rowOff>91440</xdr:rowOff>
    </xdr:from>
    <xdr:to>
      <xdr:col>5</xdr:col>
      <xdr:colOff>594360</xdr:colOff>
      <xdr:row>33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945C40-5B32-4897-BD5E-F2F3E7557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419100</xdr:colOff>
      <xdr:row>19</xdr:row>
      <xdr:rowOff>83820</xdr:rowOff>
    </xdr:from>
    <xdr:to>
      <xdr:col>22</xdr:col>
      <xdr:colOff>228600</xdr:colOff>
      <xdr:row>33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8BCFCE-FC2A-485C-A3AC-1744A3577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601980</xdr:colOff>
      <xdr:row>19</xdr:row>
      <xdr:rowOff>91440</xdr:rowOff>
    </xdr:from>
    <xdr:to>
      <xdr:col>12</xdr:col>
      <xdr:colOff>411480</xdr:colOff>
      <xdr:row>33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47CF8E-24E6-4D3A-B371-D110FE543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</xdr:row>
      <xdr:rowOff>160020</xdr:rowOff>
    </xdr:from>
    <xdr:to>
      <xdr:col>15</xdr:col>
      <xdr:colOff>510540</xdr:colOff>
      <xdr:row>19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F26A64-A393-4234-A00B-915485276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510540</xdr:colOff>
      <xdr:row>0</xdr:row>
      <xdr:rowOff>7620</xdr:rowOff>
    </xdr:from>
    <xdr:to>
      <xdr:col>22</xdr:col>
      <xdr:colOff>220980</xdr:colOff>
      <xdr:row>19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7456A9-4B13-40DF-9F12-DB68AAD27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6</xdr:row>
      <xdr:rowOff>148590</xdr:rowOff>
    </xdr:from>
    <xdr:to>
      <xdr:col>12</xdr:col>
      <xdr:colOff>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7883D4-7DF8-942F-B35E-4C561AE4D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579120</xdr:colOff>
      <xdr:row>9</xdr:row>
      <xdr:rowOff>38100</xdr:rowOff>
    </xdr:from>
    <xdr:to>
      <xdr:col>13</xdr:col>
      <xdr:colOff>274320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DB81F8-6709-D470-CC6F-1A4B00A96B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9</xdr:row>
      <xdr:rowOff>38100</xdr:rowOff>
    </xdr:from>
    <xdr:to>
      <xdr:col>11</xdr:col>
      <xdr:colOff>152400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A3F7FD-AAA8-C594-CEDD-8FF7ECAAD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335280</xdr:colOff>
      <xdr:row>6</xdr:row>
      <xdr:rowOff>148590</xdr:rowOff>
    </xdr:from>
    <xdr:to>
      <xdr:col>12</xdr:col>
      <xdr:colOff>30480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5F4828-37DF-8543-E62F-B02D861E7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655320</xdr:colOff>
      <xdr:row>6</xdr:row>
      <xdr:rowOff>148590</xdr:rowOff>
    </xdr:from>
    <xdr:to>
      <xdr:col>11</xdr:col>
      <xdr:colOff>106680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3B8560-0426-53D3-2074-77E12BBA7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3A1C1A80-D09E-4C7A-81A0-5F394FA3B231}" autoFormatId="16" applyNumberFormats="0" applyBorderFormats="0" applyFontFormats="0" applyPatternFormats="0" applyAlignmentFormats="0" applyWidthHeightFormats="0">
  <queryTableRefresh nextId="3">
    <queryTableFields count="2">
      <queryTableField id="1" name="reason_code" tableColumnId="1"/>
      <queryTableField id="2" name="churn_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C2DB7286-7E9A-46F5-951D-DEFF4A2E8F2E}" autoFormatId="16" applyNumberFormats="0" applyBorderFormats="0" applyFontFormats="0" applyPatternFormats="0" applyAlignmentFormats="0" applyWidthHeightFormats="0">
  <queryTableRefresh nextId="3">
    <queryTableFields count="2">
      <queryTableField id="1" name="churn_month" tableColumnId="1"/>
      <queryTableField id="2" name="churned_customer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B3F3A429-A51D-4AC5-8C58-0CDEED5C1456}" autoFormatId="16" applyNumberFormats="0" applyBorderFormats="0" applyFontFormats="0" applyPatternFormats="0" applyAlignmentFormats="0" applyWidthHeightFormats="0">
  <queryTableRefresh nextId="4">
    <queryTableFields count="3">
      <queryTableField id="1" name="churned" tableColumnId="1"/>
      <queryTableField id="2" name="avg_tickets" tableColumnId="2"/>
      <queryTableField id="3" name="avg_resolution_tim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4F69D978-7B02-4599-8C00-590372BA2248}" autoFormatId="16" applyNumberFormats="0" applyBorderFormats="0" applyFontFormats="0" applyPatternFormats="0" applyAlignmentFormats="0" applyWidthHeightFormats="0">
  <queryTableRefresh nextId="3">
    <queryTableFields count="2">
      <queryTableField id="1" name="tenure_bucket" tableColumnId="1"/>
      <queryTableField id="2" name="customers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B9AB302-8812-44B7-8320-4923C7F28580}" autoFormatId="16" applyNumberFormats="0" applyBorderFormats="0" applyFontFormats="0" applyPatternFormats="0" applyAlignmentFormats="0" applyWidthHeightFormats="0">
  <queryTableRefresh nextId="5">
    <queryTableFields count="4">
      <queryTableField id="1" name="current_plan" tableColumnId="1"/>
      <queryTableField id="2" name="customers" tableColumnId="2"/>
      <queryTableField id="3" name="churned" tableColumnId="3"/>
      <queryTableField id="4" name="churn_rat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B5A96CD-B1F2-4F1B-B5EB-5DA4256EEC08}" autoFormatId="16" applyNumberFormats="0" applyBorderFormats="0" applyFontFormats="0" applyPatternFormats="0" applyAlignmentFormats="0" applyWidthHeightFormats="0">
  <queryTableRefresh nextId="8">
    <queryTableFields count="7">
      <queryTableField id="1" name="cohort_month" tableColumnId="1"/>
      <queryTableField id="2" name="&lt;1m" tableColumnId="2"/>
      <queryTableField id="3" name="1–3m" tableColumnId="3"/>
      <queryTableField id="4" name="3–6m" tableColumnId="4"/>
      <queryTableField id="5" name="6–12m" tableColumnId="5"/>
      <queryTableField id="6" name="1–2y" tableColumnId="6"/>
      <queryTableField id="7" name="2y+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13BA16E-06ED-41D6-88A5-202AF9FE5E70}" autoFormatId="16" applyNumberFormats="0" applyBorderFormats="0" applyFontFormats="0" applyPatternFormats="0" applyAlignmentFormats="0" applyWidthHeightFormats="0">
  <queryTableRefresh nextId="3">
    <queryTableFields count="2">
      <queryTableField id="1" name="Metric" tableColumnId="1"/>
      <queryTableField id="2" name="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3C46A7-EA12-4E84-87BB-9797F7849C5F}" name="churn_reasons" displayName="churn_reasons" ref="A1:B7" tableType="queryTable" totalsRowShown="0">
  <autoFilter ref="A1:B7" xr:uid="{DF3C46A7-EA12-4E84-87BB-9797F7849C5F}"/>
  <tableColumns count="2">
    <tableColumn id="1" xr3:uid="{241CEE6A-581B-43D2-8B7C-FEB4AF2018BD}" uniqueName="1" name="reason_code" queryTableFieldId="1" dataDxfId="2"/>
    <tableColumn id="2" xr3:uid="{D6005DC3-A118-4D2D-B6E9-252B3EBFF062}" uniqueName="2" name="churn_coun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046B788-BBD2-4B14-8A74-55123278A294}" name="churn_trend_over_time" displayName="churn_trend_over_time" ref="A1:B24" tableType="queryTable" totalsRowShown="0">
  <autoFilter ref="A1:B24" xr:uid="{E046B788-BBD2-4B14-8A74-55123278A294}"/>
  <tableColumns count="2">
    <tableColumn id="1" xr3:uid="{7BC2792C-565A-44D9-A401-7FC30671F9DF}" uniqueName="1" name="churn_month" queryTableFieldId="1" dataDxfId="1"/>
    <tableColumn id="2" xr3:uid="{3506A946-DDFB-47FE-A929-8CE5DA1A8D5A}" uniqueName="2" name="churned_customer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A9DD07D-482E-4AB7-8845-FADB538837C1}" name="support_vs_churn" displayName="support_vs_churn" ref="A1:C3" tableType="queryTable" totalsRowShown="0">
  <autoFilter ref="A1:C3" xr:uid="{8A9DD07D-482E-4AB7-8845-FADB538837C1}"/>
  <tableColumns count="3">
    <tableColumn id="1" xr3:uid="{74736C95-1DC8-4338-A350-8E6EAB804D1C}" uniqueName="1" name="churned" queryTableFieldId="1" dataDxfId="0"/>
    <tableColumn id="2" xr3:uid="{A20437E2-DB92-4591-AC1F-6A08996B849D}" uniqueName="2" name="avg_tickets" queryTableFieldId="2"/>
    <tableColumn id="3" xr3:uid="{AD911BBF-8CC0-43A1-9B2A-92E5A720FBAD}" uniqueName="3" name="avg_resolution_tim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4A6C62-6945-455A-9699-7A61F814DED9}" name="tenure_distribution" displayName="tenure_distribution" ref="A1:B7" tableType="queryTable" totalsRowShown="0">
  <autoFilter ref="A1:B7" xr:uid="{DA4A6C62-6945-455A-9699-7A61F814DED9}"/>
  <tableColumns count="2">
    <tableColumn id="1" xr3:uid="{D8E81915-753B-4C2D-A320-5F1D92224865}" uniqueName="1" name="tenure_bucket" queryTableFieldId="1" dataDxfId="3"/>
    <tableColumn id="2" xr3:uid="{ACC29D1F-BBB2-443E-8C95-B2ACC47AFC6F}" uniqueName="2" name="customers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5EB7BF-AB1D-4F15-8D76-678F342D3D88}" name="churn_by_plan" displayName="churn_by_plan" ref="A1:D4" tableType="queryTable" totalsRowShown="0">
  <autoFilter ref="A1:D4" xr:uid="{735EB7BF-AB1D-4F15-8D76-678F342D3D88}"/>
  <tableColumns count="4">
    <tableColumn id="1" xr3:uid="{9C5E4436-D497-4DC2-9BE6-C46AA2683BF0}" uniqueName="1" name="current_plan" queryTableFieldId="1" dataDxfId="4"/>
    <tableColumn id="2" xr3:uid="{E47691A1-9548-4CB6-8022-1AD9658F0458}" uniqueName="2" name="customers" queryTableFieldId="2"/>
    <tableColumn id="3" xr3:uid="{43ED95D3-F279-4131-93F3-3ECD5AEA3F37}" uniqueName="3" name="churned" queryTableFieldId="3"/>
    <tableColumn id="4" xr3:uid="{A01A014D-A43B-41C5-A973-7E6C4133ED81}" uniqueName="4" name="churn_rate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BD2419-9CC9-450E-B602-4712B80B4F4C}" name="retention_cohort_matrix" displayName="retention_cohort_matrix" ref="A1:G25" tableType="queryTable" totalsRowShown="0">
  <autoFilter ref="A1:G25" xr:uid="{50BD2419-9CC9-450E-B602-4712B80B4F4C}"/>
  <tableColumns count="7">
    <tableColumn id="1" xr3:uid="{E1A13920-071C-4DE5-B6AE-D022D8682FF5}" uniqueName="1" name="cohort_month" queryTableFieldId="1" dataDxfId="6"/>
    <tableColumn id="2" xr3:uid="{C6AE7CA9-9F77-4BAA-A88D-194012003880}" uniqueName="2" name="&lt;1m" queryTableFieldId="2"/>
    <tableColumn id="3" xr3:uid="{FA7ED0B7-73AC-4942-99A7-3F333674B68F}" uniqueName="3" name="1–3m" queryTableFieldId="3"/>
    <tableColumn id="4" xr3:uid="{012EC6C5-C821-430E-8EE5-26AFF4F500FD}" uniqueName="4" name="3–6m" queryTableFieldId="4"/>
    <tableColumn id="5" xr3:uid="{46420BFC-F218-4363-AE10-81D3B95CE61E}" uniqueName="5" name="6–12m" queryTableFieldId="5"/>
    <tableColumn id="6" xr3:uid="{471A4FA3-EA60-4FEB-B70C-4B6DE83B4978}" uniqueName="6" name="1–2y" queryTableFieldId="6"/>
    <tableColumn id="7" xr3:uid="{881ABA73-9AE2-4068-8082-46C9AE5D4773}" uniqueName="7" name="2y+" queryTableFieldId="7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CB38E2-5344-4380-A5E8-B75B1DB299FC}" name="kpi_summary" displayName="kpi_summary" ref="A1:B6" tableType="queryTable" totalsRowShown="0">
  <autoFilter ref="A1:B6" xr:uid="{F1CB38E2-5344-4380-A5E8-B75B1DB299FC}"/>
  <tableColumns count="2">
    <tableColumn id="1" xr3:uid="{E43519F4-67AD-4F80-A2A0-FC6C5AF0966A}" uniqueName="1" name="Metric" queryTableFieldId="1" dataDxfId="5"/>
    <tableColumn id="2" xr3:uid="{45E85B68-FEE4-413B-8BCB-7BF0D930F240}" uniqueName="2" name="Val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E5230-CAB8-436F-84B0-727F94EDDFF0}">
  <dimension ref="A1:P6"/>
  <sheetViews>
    <sheetView showGridLines="0" workbookViewId="0">
      <selection activeCell="W6" sqref="W6"/>
    </sheetView>
  </sheetViews>
  <sheetFormatPr defaultRowHeight="14.4" x14ac:dyDescent="0.3"/>
  <sheetData>
    <row r="1" spans="1:16" x14ac:dyDescent="0.3">
      <c r="A1" s="7" t="s">
        <v>11</v>
      </c>
      <c r="B1" s="7"/>
      <c r="C1" s="7"/>
      <c r="D1" s="7"/>
      <c r="E1" s="7" t="s">
        <v>10</v>
      </c>
      <c r="F1" s="7"/>
      <c r="G1" s="7"/>
      <c r="H1" s="7"/>
      <c r="I1" s="7" t="s">
        <v>9</v>
      </c>
      <c r="J1" s="7"/>
      <c r="K1" s="7"/>
      <c r="L1" s="7"/>
      <c r="M1" s="7" t="s">
        <v>12</v>
      </c>
      <c r="N1" s="7"/>
      <c r="O1" s="7"/>
      <c r="P1" s="7"/>
    </row>
    <row r="2" spans="1:16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14.4" customHeight="1" x14ac:dyDescent="0.3">
      <c r="A3" s="3">
        <f>Data_KPIs!B4</f>
        <v>0.70399999999999996</v>
      </c>
      <c r="B3" s="3"/>
      <c r="C3" s="3"/>
      <c r="D3" s="3"/>
      <c r="E3" s="6">
        <f>Data_KPIs!B3</f>
        <v>352</v>
      </c>
      <c r="F3" s="6"/>
      <c r="G3" s="6"/>
      <c r="H3" s="6"/>
      <c r="I3" s="6">
        <f>Data_KPIs!B2</f>
        <v>500</v>
      </c>
      <c r="J3" s="6"/>
      <c r="K3" s="6"/>
      <c r="L3" s="6"/>
      <c r="M3" s="6">
        <f>Data_KPIs!B5</f>
        <v>11.4</v>
      </c>
      <c r="N3" s="6"/>
      <c r="O3" s="6"/>
      <c r="P3" s="6"/>
    </row>
    <row r="4" spans="1:16" ht="14.4" customHeight="1" x14ac:dyDescent="0.3">
      <c r="A4" s="3"/>
      <c r="B4" s="3"/>
      <c r="C4" s="3"/>
      <c r="D4" s="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4.4" customHeight="1" x14ac:dyDescent="0.3">
      <c r="A5" s="3"/>
      <c r="B5" s="3"/>
      <c r="C5" s="3"/>
      <c r="D5" s="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4.4" customHeight="1" x14ac:dyDescent="0.3">
      <c r="A6" s="3"/>
      <c r="B6" s="3"/>
      <c r="C6" s="3"/>
      <c r="D6" s="3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</sheetData>
  <mergeCells count="8">
    <mergeCell ref="I1:L2"/>
    <mergeCell ref="I3:L6"/>
    <mergeCell ref="M1:P2"/>
    <mergeCell ref="M3:P6"/>
    <mergeCell ref="A1:D2"/>
    <mergeCell ref="A3:D6"/>
    <mergeCell ref="E1:H2"/>
    <mergeCell ref="E3:H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69FB-D108-44CC-8FEF-29CD2B0600F3}">
  <dimension ref="A1:R23"/>
  <sheetViews>
    <sheetView tabSelected="1" workbookViewId="0">
      <selection activeCell="G4" sqref="G4"/>
    </sheetView>
  </sheetViews>
  <sheetFormatPr defaultRowHeight="14.4" x14ac:dyDescent="0.3"/>
  <cols>
    <col min="17" max="17" width="11.33203125" customWidth="1"/>
  </cols>
  <sheetData>
    <row r="1" spans="1:17" ht="18" x14ac:dyDescent="0.3">
      <c r="A1" s="8" t="s">
        <v>42</v>
      </c>
      <c r="B1" s="8"/>
      <c r="C1" s="8"/>
      <c r="D1" s="8"/>
      <c r="E1" s="8"/>
    </row>
    <row r="2" spans="1:17" x14ac:dyDescent="0.3">
      <c r="A2" s="4" t="s">
        <v>43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7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5" spans="1:17" ht="18" x14ac:dyDescent="0.3">
      <c r="A5" s="8" t="s">
        <v>49</v>
      </c>
      <c r="B5" s="8"/>
      <c r="C5" s="8"/>
      <c r="D5" s="8"/>
      <c r="E5" s="8"/>
      <c r="F5" s="8"/>
    </row>
    <row r="6" spans="1:17" x14ac:dyDescent="0.3">
      <c r="A6" s="4" t="s">
        <v>44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9" spans="1:17" ht="18" x14ac:dyDescent="0.3">
      <c r="A9" s="8" t="s">
        <v>50</v>
      </c>
      <c r="B9" s="8"/>
      <c r="C9" s="8"/>
      <c r="D9" s="8"/>
      <c r="E9" s="8"/>
      <c r="F9" s="8"/>
      <c r="G9" s="8"/>
    </row>
    <row r="10" spans="1:17" x14ac:dyDescent="0.3">
      <c r="A10" s="5" t="s">
        <v>45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7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3" spans="1:17" ht="18" x14ac:dyDescent="0.3">
      <c r="A13" s="8" t="s">
        <v>51</v>
      </c>
      <c r="B13" s="8"/>
      <c r="C13" s="8"/>
      <c r="D13" s="8"/>
      <c r="E13" s="8"/>
    </row>
    <row r="14" spans="1:17" x14ac:dyDescent="0.3">
      <c r="A14" s="5" t="s">
        <v>46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7" spans="1:18" ht="18" x14ac:dyDescent="0.3">
      <c r="A17" s="8" t="s">
        <v>52</v>
      </c>
      <c r="B17" s="8"/>
      <c r="C17" s="8"/>
      <c r="D17" s="8"/>
    </row>
    <row r="18" spans="1:18" x14ac:dyDescent="0.3">
      <c r="A18" s="5" t="s">
        <v>47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8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1" spans="1:18" ht="18" x14ac:dyDescent="0.3">
      <c r="A21" s="8" t="s">
        <v>53</v>
      </c>
      <c r="B21" s="8"/>
      <c r="C21" s="8"/>
      <c r="D21" s="8"/>
      <c r="E21" s="8"/>
      <c r="F21" s="8"/>
      <c r="G21" s="8"/>
    </row>
    <row r="22" spans="1:18" x14ac:dyDescent="0.3">
      <c r="A22" s="5" t="s">
        <v>48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</sheetData>
  <mergeCells count="12">
    <mergeCell ref="A13:E13"/>
    <mergeCell ref="A14:Q15"/>
    <mergeCell ref="A17:D17"/>
    <mergeCell ref="A18:O19"/>
    <mergeCell ref="A21:G21"/>
    <mergeCell ref="A22:R23"/>
    <mergeCell ref="A2:O3"/>
    <mergeCell ref="A1:E1"/>
    <mergeCell ref="A5:F5"/>
    <mergeCell ref="A6:Q7"/>
    <mergeCell ref="A9:G9"/>
    <mergeCell ref="A10:P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0840-A2A0-46E2-9DD6-7FF9A92B426F}">
  <dimension ref="A1:B7"/>
  <sheetViews>
    <sheetView workbookViewId="0">
      <selection activeCell="B1" activeCellId="1" sqref="A1:A1048576 B1:B1048576"/>
    </sheetView>
  </sheetViews>
  <sheetFormatPr defaultRowHeight="14.4" x14ac:dyDescent="0.3"/>
  <cols>
    <col min="1" max="2" width="14" bestFit="1" customWidth="1"/>
  </cols>
  <sheetData>
    <row r="1" spans="1:2" x14ac:dyDescent="0.3">
      <c r="A1" t="s">
        <v>28</v>
      </c>
      <c r="B1" t="s">
        <v>29</v>
      </c>
    </row>
    <row r="2" spans="1:2" x14ac:dyDescent="0.3">
      <c r="A2" s="2" t="s">
        <v>30</v>
      </c>
      <c r="B2">
        <v>104</v>
      </c>
    </row>
    <row r="3" spans="1:2" x14ac:dyDescent="0.3">
      <c r="A3" s="2" t="s">
        <v>31</v>
      </c>
      <c r="B3">
        <v>92</v>
      </c>
    </row>
    <row r="4" spans="1:2" x14ac:dyDescent="0.3">
      <c r="A4" s="2" t="s">
        <v>32</v>
      </c>
      <c r="B4">
        <v>114</v>
      </c>
    </row>
    <row r="5" spans="1:2" x14ac:dyDescent="0.3">
      <c r="A5" s="2" t="s">
        <v>33</v>
      </c>
      <c r="B5">
        <v>91</v>
      </c>
    </row>
    <row r="6" spans="1:2" x14ac:dyDescent="0.3">
      <c r="A6" s="2" t="s">
        <v>34</v>
      </c>
      <c r="B6">
        <v>104</v>
      </c>
    </row>
    <row r="7" spans="1:2" x14ac:dyDescent="0.3">
      <c r="A7" s="2" t="s">
        <v>35</v>
      </c>
      <c r="B7">
        <v>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0A9E-1B6E-4ACA-9E73-6572DE707397}">
  <dimension ref="A1:B24"/>
  <sheetViews>
    <sheetView workbookViewId="0">
      <selection activeCell="B1" activeCellId="1" sqref="A1:A1048576 B1:B1048576"/>
    </sheetView>
  </sheetViews>
  <sheetFormatPr defaultRowHeight="14.4" x14ac:dyDescent="0.3"/>
  <cols>
    <col min="1" max="1" width="14.77734375" bestFit="1" customWidth="1"/>
    <col min="2" max="2" width="20.109375" bestFit="1" customWidth="1"/>
  </cols>
  <sheetData>
    <row r="1" spans="1:2" x14ac:dyDescent="0.3">
      <c r="A1" t="s">
        <v>36</v>
      </c>
      <c r="B1" t="s">
        <v>37</v>
      </c>
    </row>
    <row r="2" spans="1:2" x14ac:dyDescent="0.3">
      <c r="A2" s="1">
        <v>44927</v>
      </c>
      <c r="B2">
        <v>1</v>
      </c>
    </row>
    <row r="3" spans="1:2" x14ac:dyDescent="0.3">
      <c r="A3" s="1">
        <v>44986</v>
      </c>
      <c r="B3">
        <v>5</v>
      </c>
    </row>
    <row r="4" spans="1:2" x14ac:dyDescent="0.3">
      <c r="A4" s="1">
        <v>45017</v>
      </c>
      <c r="B4">
        <v>3</v>
      </c>
    </row>
    <row r="5" spans="1:2" x14ac:dyDescent="0.3">
      <c r="A5" s="1">
        <v>45047</v>
      </c>
      <c r="B5">
        <v>3</v>
      </c>
    </row>
    <row r="6" spans="1:2" x14ac:dyDescent="0.3">
      <c r="A6" s="1">
        <v>45078</v>
      </c>
      <c r="B6">
        <v>5</v>
      </c>
    </row>
    <row r="7" spans="1:2" x14ac:dyDescent="0.3">
      <c r="A7" s="1">
        <v>45108</v>
      </c>
      <c r="B7">
        <v>6</v>
      </c>
    </row>
    <row r="8" spans="1:2" x14ac:dyDescent="0.3">
      <c r="A8" s="1">
        <v>45139</v>
      </c>
      <c r="B8">
        <v>6</v>
      </c>
    </row>
    <row r="9" spans="1:2" x14ac:dyDescent="0.3">
      <c r="A9" s="1">
        <v>45170</v>
      </c>
      <c r="B9">
        <v>6</v>
      </c>
    </row>
    <row r="10" spans="1:2" x14ac:dyDescent="0.3">
      <c r="A10" s="1">
        <v>45200</v>
      </c>
      <c r="B10">
        <v>10</v>
      </c>
    </row>
    <row r="11" spans="1:2" x14ac:dyDescent="0.3">
      <c r="A11" s="1">
        <v>45231</v>
      </c>
      <c r="B11">
        <v>11</v>
      </c>
    </row>
    <row r="12" spans="1:2" x14ac:dyDescent="0.3">
      <c r="A12" s="1">
        <v>45261</v>
      </c>
      <c r="B12">
        <v>16</v>
      </c>
    </row>
    <row r="13" spans="1:2" x14ac:dyDescent="0.3">
      <c r="A13" s="1">
        <v>45292</v>
      </c>
      <c r="B13">
        <v>18</v>
      </c>
    </row>
    <row r="14" spans="1:2" x14ac:dyDescent="0.3">
      <c r="A14" s="1">
        <v>45323</v>
      </c>
      <c r="B14">
        <v>10</v>
      </c>
    </row>
    <row r="15" spans="1:2" x14ac:dyDescent="0.3">
      <c r="A15" s="1">
        <v>45352</v>
      </c>
      <c r="B15">
        <v>24</v>
      </c>
    </row>
    <row r="16" spans="1:2" x14ac:dyDescent="0.3">
      <c r="A16" s="1">
        <v>45383</v>
      </c>
      <c r="B16">
        <v>23</v>
      </c>
    </row>
    <row r="17" spans="1:2" x14ac:dyDescent="0.3">
      <c r="A17" s="1">
        <v>45413</v>
      </c>
      <c r="B17">
        <v>25</v>
      </c>
    </row>
    <row r="18" spans="1:2" x14ac:dyDescent="0.3">
      <c r="A18" s="1">
        <v>45444</v>
      </c>
      <c r="B18">
        <v>38</v>
      </c>
    </row>
    <row r="19" spans="1:2" x14ac:dyDescent="0.3">
      <c r="A19" s="1">
        <v>45474</v>
      </c>
      <c r="B19">
        <v>33</v>
      </c>
    </row>
    <row r="20" spans="1:2" x14ac:dyDescent="0.3">
      <c r="A20" s="1">
        <v>45505</v>
      </c>
      <c r="B20">
        <v>40</v>
      </c>
    </row>
    <row r="21" spans="1:2" x14ac:dyDescent="0.3">
      <c r="A21" s="1">
        <v>45536</v>
      </c>
      <c r="B21">
        <v>48</v>
      </c>
    </row>
    <row r="22" spans="1:2" x14ac:dyDescent="0.3">
      <c r="A22" s="1">
        <v>45566</v>
      </c>
      <c r="B22">
        <v>60</v>
      </c>
    </row>
    <row r="23" spans="1:2" x14ac:dyDescent="0.3">
      <c r="A23" s="1">
        <v>45597</v>
      </c>
      <c r="B23">
        <v>60</v>
      </c>
    </row>
    <row r="24" spans="1:2" x14ac:dyDescent="0.3">
      <c r="A24" s="1">
        <v>45627</v>
      </c>
      <c r="B24">
        <v>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FF6D-D96A-407D-9E0A-333B7BBFE3BB}">
  <dimension ref="A1:C3"/>
  <sheetViews>
    <sheetView workbookViewId="0">
      <selection activeCell="B1" activeCellId="1" sqref="A1:A1048576 B1:B1048576"/>
    </sheetView>
  </sheetViews>
  <sheetFormatPr defaultRowHeight="14.4" x14ac:dyDescent="0.3"/>
  <cols>
    <col min="1" max="1" width="10.21875" bestFit="1" customWidth="1"/>
    <col min="2" max="2" width="12.6640625" bestFit="1" customWidth="1"/>
    <col min="3" max="3" width="20.6640625" bestFit="1" customWidth="1"/>
  </cols>
  <sheetData>
    <row r="1" spans="1:3" x14ac:dyDescent="0.3">
      <c r="A1" t="s">
        <v>16</v>
      </c>
      <c r="B1" t="s">
        <v>38</v>
      </c>
      <c r="C1" t="s">
        <v>39</v>
      </c>
    </row>
    <row r="2" spans="1:3" x14ac:dyDescent="0.3">
      <c r="A2" s="2" t="s">
        <v>40</v>
      </c>
      <c r="B2">
        <v>4.0878378378378377</v>
      </c>
      <c r="C2">
        <v>36.246759715380399</v>
      </c>
    </row>
    <row r="3" spans="1:3" x14ac:dyDescent="0.3">
      <c r="A3" s="2" t="s">
        <v>41</v>
      </c>
      <c r="B3">
        <v>3.9630681818181817</v>
      </c>
      <c r="C3">
        <v>36.235070133196935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5DA14-DD26-4115-94DA-F4672491C846}">
  <dimension ref="A1:B7"/>
  <sheetViews>
    <sheetView workbookViewId="0">
      <selection activeCell="D5" sqref="D5"/>
    </sheetView>
  </sheetViews>
  <sheetFormatPr defaultRowHeight="14.4" x14ac:dyDescent="0.3"/>
  <cols>
    <col min="1" max="1" width="15.6640625" bestFit="1" customWidth="1"/>
    <col min="2" max="2" width="11.88671875" bestFit="1" customWidth="1"/>
  </cols>
  <sheetData>
    <row r="1" spans="1:2" x14ac:dyDescent="0.3">
      <c r="A1" t="s">
        <v>21</v>
      </c>
      <c r="B1" t="s">
        <v>15</v>
      </c>
    </row>
    <row r="2" spans="1:2" x14ac:dyDescent="0.3">
      <c r="A2" s="2" t="s">
        <v>22</v>
      </c>
      <c r="B2">
        <v>43</v>
      </c>
    </row>
    <row r="3" spans="1:2" x14ac:dyDescent="0.3">
      <c r="A3" s="2" t="s">
        <v>23</v>
      </c>
      <c r="B3">
        <v>64</v>
      </c>
    </row>
    <row r="4" spans="1:2" x14ac:dyDescent="0.3">
      <c r="A4" s="2" t="s">
        <v>24</v>
      </c>
      <c r="B4">
        <v>60</v>
      </c>
    </row>
    <row r="5" spans="1:2" x14ac:dyDescent="0.3">
      <c r="A5" s="2" t="s">
        <v>25</v>
      </c>
      <c r="B5">
        <v>77</v>
      </c>
    </row>
    <row r="6" spans="1:2" x14ac:dyDescent="0.3">
      <c r="A6" s="2" t="s">
        <v>26</v>
      </c>
      <c r="B6">
        <v>148</v>
      </c>
    </row>
    <row r="7" spans="1:2" x14ac:dyDescent="0.3">
      <c r="A7" s="2" t="s">
        <v>27</v>
      </c>
      <c r="B7">
        <v>64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0065-48B6-482D-83F2-2716B91D1494}">
  <dimension ref="A1:D4"/>
  <sheetViews>
    <sheetView workbookViewId="0">
      <selection activeCell="M14" sqref="M14"/>
    </sheetView>
  </sheetViews>
  <sheetFormatPr defaultRowHeight="14.4" x14ac:dyDescent="0.3"/>
  <cols>
    <col min="1" max="1" width="14" bestFit="1" customWidth="1"/>
    <col min="2" max="2" width="11.88671875" bestFit="1" customWidth="1"/>
    <col min="3" max="3" width="10.21875" bestFit="1" customWidth="1"/>
    <col min="4" max="4" width="12.44140625" bestFit="1" customWidth="1"/>
  </cols>
  <sheetData>
    <row r="1" spans="1:4" x14ac:dyDescent="0.3">
      <c r="A1" t="s">
        <v>14</v>
      </c>
      <c r="B1" t="s">
        <v>15</v>
      </c>
      <c r="C1" t="s">
        <v>16</v>
      </c>
      <c r="D1" t="s">
        <v>17</v>
      </c>
    </row>
    <row r="2" spans="1:4" x14ac:dyDescent="0.3">
      <c r="A2" s="2" t="s">
        <v>18</v>
      </c>
      <c r="B2">
        <v>160</v>
      </c>
      <c r="C2">
        <v>111</v>
      </c>
      <c r="D2">
        <v>0.69374999999999998</v>
      </c>
    </row>
    <row r="3" spans="1:4" x14ac:dyDescent="0.3">
      <c r="A3" s="2" t="s">
        <v>19</v>
      </c>
      <c r="B3">
        <v>180</v>
      </c>
      <c r="C3">
        <v>131</v>
      </c>
      <c r="D3">
        <v>0.72777777777777775</v>
      </c>
    </row>
    <row r="4" spans="1:4" x14ac:dyDescent="0.3">
      <c r="A4" s="2" t="s">
        <v>20</v>
      </c>
      <c r="B4">
        <v>160</v>
      </c>
      <c r="C4">
        <v>110</v>
      </c>
      <c r="D4">
        <v>0.6875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CD92-9E9E-4678-9795-3C31B83B5313}">
  <dimension ref="A1:G25"/>
  <sheetViews>
    <sheetView workbookViewId="0"/>
  </sheetViews>
  <sheetFormatPr defaultRowHeight="14.4" x14ac:dyDescent="0.3"/>
  <cols>
    <col min="1" max="1" width="15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44927</v>
      </c>
      <c r="B2">
        <v>0</v>
      </c>
      <c r="C2">
        <v>0.11764705882352941</v>
      </c>
      <c r="D2">
        <v>5.8823529411764705E-2</v>
      </c>
      <c r="E2">
        <v>0.17647058823529413</v>
      </c>
      <c r="F2">
        <v>0.35294117647058826</v>
      </c>
      <c r="G2">
        <v>0.29411764705882354</v>
      </c>
    </row>
    <row r="3" spans="1:7" x14ac:dyDescent="0.3">
      <c r="A3" s="1">
        <v>44958</v>
      </c>
      <c r="B3">
        <v>5.5555555555555552E-2</v>
      </c>
      <c r="C3">
        <v>5.5555555555555552E-2</v>
      </c>
      <c r="D3">
        <v>0</v>
      </c>
      <c r="E3">
        <v>0.1111111111111111</v>
      </c>
      <c r="F3">
        <v>0.44444444444444442</v>
      </c>
      <c r="G3">
        <v>0.33333333333333331</v>
      </c>
    </row>
    <row r="4" spans="1:7" x14ac:dyDescent="0.3">
      <c r="A4" s="1">
        <v>44986</v>
      </c>
      <c r="B4">
        <v>0</v>
      </c>
      <c r="C4">
        <v>0.15789473684210525</v>
      </c>
      <c r="D4">
        <v>5.2631578947368418E-2</v>
      </c>
      <c r="E4">
        <v>0.26315789473684209</v>
      </c>
      <c r="F4">
        <v>0.31578947368421051</v>
      </c>
      <c r="G4">
        <v>0.21052631578947367</v>
      </c>
    </row>
    <row r="5" spans="1:7" x14ac:dyDescent="0.3">
      <c r="A5" s="1">
        <v>45017</v>
      </c>
      <c r="B5">
        <v>0</v>
      </c>
      <c r="C5">
        <v>6.6666666666666666E-2</v>
      </c>
      <c r="D5">
        <v>0</v>
      </c>
      <c r="E5">
        <v>0</v>
      </c>
      <c r="F5">
        <v>0.53333333333333333</v>
      </c>
      <c r="G5">
        <v>0.4</v>
      </c>
    </row>
    <row r="6" spans="1:7" x14ac:dyDescent="0.3">
      <c r="A6" s="1">
        <v>45047</v>
      </c>
      <c r="B6">
        <v>0</v>
      </c>
      <c r="C6">
        <v>3.8461538461538464E-2</v>
      </c>
      <c r="D6">
        <v>3.8461538461538464E-2</v>
      </c>
      <c r="E6">
        <v>7.6923076923076927E-2</v>
      </c>
      <c r="F6">
        <v>0.34615384615384615</v>
      </c>
      <c r="G6">
        <v>0.5</v>
      </c>
    </row>
    <row r="7" spans="1:7" x14ac:dyDescent="0.3">
      <c r="A7" s="1">
        <v>45078</v>
      </c>
      <c r="B7">
        <v>0</v>
      </c>
      <c r="C7">
        <v>0</v>
      </c>
      <c r="D7">
        <v>0</v>
      </c>
      <c r="E7">
        <v>7.6923076923076927E-2</v>
      </c>
      <c r="F7">
        <v>0.61538461538461542</v>
      </c>
      <c r="G7">
        <v>0.30769230769230771</v>
      </c>
    </row>
    <row r="8" spans="1:7" x14ac:dyDescent="0.3">
      <c r="A8" s="1">
        <v>45108</v>
      </c>
      <c r="B8">
        <v>0</v>
      </c>
      <c r="C8">
        <v>0</v>
      </c>
      <c r="D8">
        <v>7.6923076923076927E-2</v>
      </c>
      <c r="E8">
        <v>0.30769230769230771</v>
      </c>
      <c r="F8">
        <v>0.30769230769230771</v>
      </c>
      <c r="G8">
        <v>0.30769230769230771</v>
      </c>
    </row>
    <row r="9" spans="1:7" x14ac:dyDescent="0.3">
      <c r="A9" s="1">
        <v>45139</v>
      </c>
      <c r="B9">
        <v>0</v>
      </c>
      <c r="C9">
        <v>0</v>
      </c>
      <c r="D9">
        <v>6.25E-2</v>
      </c>
      <c r="E9">
        <v>0.3125</v>
      </c>
      <c r="F9">
        <v>0.3125</v>
      </c>
      <c r="G9">
        <v>0.3125</v>
      </c>
    </row>
    <row r="10" spans="1:7" x14ac:dyDescent="0.3">
      <c r="A10" s="1">
        <v>45170</v>
      </c>
      <c r="B10">
        <v>0</v>
      </c>
      <c r="C10">
        <v>4.3478260869565216E-2</v>
      </c>
      <c r="D10">
        <v>0.2608695652173913</v>
      </c>
      <c r="E10">
        <v>0.2608695652173913</v>
      </c>
      <c r="F10">
        <v>0.2608695652173913</v>
      </c>
      <c r="G10">
        <v>0.17391304347826086</v>
      </c>
    </row>
    <row r="11" spans="1:7" x14ac:dyDescent="0.3">
      <c r="A11" s="1">
        <v>45200</v>
      </c>
      <c r="B11">
        <v>0</v>
      </c>
      <c r="C11">
        <v>0</v>
      </c>
      <c r="D11">
        <v>0.21052631578947367</v>
      </c>
      <c r="E11">
        <v>0.42105263157894735</v>
      </c>
      <c r="F11">
        <v>0.21052631578947367</v>
      </c>
      <c r="G11">
        <v>0.15789473684210525</v>
      </c>
    </row>
    <row r="12" spans="1:7" x14ac:dyDescent="0.3">
      <c r="A12" s="1">
        <v>45231</v>
      </c>
      <c r="B12">
        <v>0.08</v>
      </c>
      <c r="C12">
        <v>0.08</v>
      </c>
      <c r="D12">
        <v>0.12</v>
      </c>
      <c r="E12">
        <v>0.4</v>
      </c>
      <c r="F12">
        <v>0.08</v>
      </c>
      <c r="G12">
        <v>0.24</v>
      </c>
    </row>
    <row r="13" spans="1:7" x14ac:dyDescent="0.3">
      <c r="A13" s="1">
        <v>45261</v>
      </c>
      <c r="B13">
        <v>0</v>
      </c>
      <c r="C13">
        <v>0.21052631578947367</v>
      </c>
      <c r="D13">
        <v>5.2631578947368418E-2</v>
      </c>
      <c r="E13">
        <v>0.52631578947368418</v>
      </c>
      <c r="F13">
        <v>0</v>
      </c>
      <c r="G13">
        <v>0.21052631578947367</v>
      </c>
    </row>
    <row r="14" spans="1:7" x14ac:dyDescent="0.3">
      <c r="A14" s="1">
        <v>45292</v>
      </c>
      <c r="B14">
        <v>0</v>
      </c>
      <c r="C14">
        <v>6.6666666666666666E-2</v>
      </c>
      <c r="D14">
        <v>0.33333333333333331</v>
      </c>
      <c r="E14">
        <v>0.33333333333333331</v>
      </c>
      <c r="F14">
        <v>0.26666666666666666</v>
      </c>
      <c r="G14">
        <v>0</v>
      </c>
    </row>
    <row r="15" spans="1:7" x14ac:dyDescent="0.3">
      <c r="A15" s="1">
        <v>45323</v>
      </c>
      <c r="B15">
        <v>0</v>
      </c>
      <c r="C15">
        <v>0.25</v>
      </c>
      <c r="D15">
        <v>8.3333333333333329E-2</v>
      </c>
      <c r="E15">
        <v>0.25</v>
      </c>
      <c r="F15">
        <v>0.41666666666666669</v>
      </c>
      <c r="G15">
        <v>0</v>
      </c>
    </row>
    <row r="16" spans="1:7" x14ac:dyDescent="0.3">
      <c r="A16" s="1">
        <v>45352</v>
      </c>
      <c r="B16">
        <v>0.08</v>
      </c>
      <c r="C16">
        <v>0.16</v>
      </c>
      <c r="D16">
        <v>0.24</v>
      </c>
      <c r="E16">
        <v>0.2</v>
      </c>
      <c r="F16">
        <v>0.32</v>
      </c>
      <c r="G16">
        <v>0</v>
      </c>
    </row>
    <row r="17" spans="1:7" x14ac:dyDescent="0.3">
      <c r="A17" s="1">
        <v>45383</v>
      </c>
      <c r="B17">
        <v>0.05</v>
      </c>
      <c r="C17">
        <v>0.15</v>
      </c>
      <c r="D17">
        <v>0.35</v>
      </c>
      <c r="E17">
        <v>0.2</v>
      </c>
      <c r="F17">
        <v>0.25</v>
      </c>
      <c r="G17">
        <v>0</v>
      </c>
    </row>
    <row r="18" spans="1:7" x14ac:dyDescent="0.3">
      <c r="A18" s="1">
        <v>45413</v>
      </c>
      <c r="B18">
        <v>0.19047619047619047</v>
      </c>
      <c r="C18">
        <v>9.5238095238095233E-2</v>
      </c>
      <c r="D18">
        <v>0.2857142857142857</v>
      </c>
      <c r="E18">
        <v>9.5238095238095233E-2</v>
      </c>
      <c r="F18">
        <v>0.33333333333333331</v>
      </c>
      <c r="G18">
        <v>0</v>
      </c>
    </row>
    <row r="19" spans="1:7" x14ac:dyDescent="0.3">
      <c r="A19" s="1">
        <v>45444</v>
      </c>
      <c r="B19">
        <v>9.5238095238095233E-2</v>
      </c>
      <c r="C19">
        <v>0.19047619047619047</v>
      </c>
      <c r="D19">
        <v>0.42857142857142855</v>
      </c>
      <c r="E19">
        <v>0</v>
      </c>
      <c r="F19">
        <v>0.2857142857142857</v>
      </c>
      <c r="G19">
        <v>0</v>
      </c>
    </row>
    <row r="20" spans="1:7" x14ac:dyDescent="0.3">
      <c r="A20" s="1">
        <v>45474</v>
      </c>
      <c r="B20">
        <v>8.3333333333333329E-2</v>
      </c>
      <c r="C20">
        <v>0.29166666666666669</v>
      </c>
      <c r="D20">
        <v>0.20833333333333334</v>
      </c>
      <c r="E20">
        <v>0</v>
      </c>
      <c r="F20">
        <v>0.41666666666666669</v>
      </c>
      <c r="G20">
        <v>0</v>
      </c>
    </row>
    <row r="21" spans="1:7" x14ac:dyDescent="0.3">
      <c r="A21" s="1">
        <v>45505</v>
      </c>
      <c r="B21">
        <v>0.10526315789473684</v>
      </c>
      <c r="C21">
        <v>0.31578947368421051</v>
      </c>
      <c r="D21">
        <v>0.10526315789473684</v>
      </c>
      <c r="E21">
        <v>0</v>
      </c>
      <c r="F21">
        <v>0.47368421052631576</v>
      </c>
      <c r="G21">
        <v>0</v>
      </c>
    </row>
    <row r="22" spans="1:7" x14ac:dyDescent="0.3">
      <c r="A22" s="1">
        <v>45536</v>
      </c>
      <c r="B22">
        <v>5.5555555555555552E-2</v>
      </c>
      <c r="C22">
        <v>0.72222222222222221</v>
      </c>
      <c r="D22">
        <v>0</v>
      </c>
      <c r="E22">
        <v>0</v>
      </c>
      <c r="F22">
        <v>0.22222222222222221</v>
      </c>
      <c r="G22">
        <v>0</v>
      </c>
    </row>
    <row r="23" spans="1:7" x14ac:dyDescent="0.3">
      <c r="A23" s="1">
        <v>45566</v>
      </c>
      <c r="B23">
        <v>0.41379310344827586</v>
      </c>
      <c r="C23">
        <v>0.17241379310344829</v>
      </c>
      <c r="D23">
        <v>0</v>
      </c>
      <c r="E23">
        <v>0</v>
      </c>
      <c r="F23">
        <v>0.41379310344827586</v>
      </c>
      <c r="G23">
        <v>0</v>
      </c>
    </row>
    <row r="24" spans="1:7" x14ac:dyDescent="0.3">
      <c r="A24" s="1">
        <v>45597</v>
      </c>
      <c r="B24">
        <v>0.60869565217391308</v>
      </c>
      <c r="C24">
        <v>4.3478260869565216E-2</v>
      </c>
      <c r="D24">
        <v>0</v>
      </c>
      <c r="E24">
        <v>0</v>
      </c>
      <c r="F24">
        <v>0.34782608695652173</v>
      </c>
      <c r="G24">
        <v>0</v>
      </c>
    </row>
    <row r="25" spans="1:7" x14ac:dyDescent="0.3">
      <c r="A25" s="1">
        <v>45627</v>
      </c>
      <c r="B25">
        <v>0</v>
      </c>
      <c r="C25">
        <v>0</v>
      </c>
      <c r="D25">
        <v>0</v>
      </c>
      <c r="E25">
        <v>0.33333333333333331</v>
      </c>
      <c r="F25">
        <v>0.66666666666666663</v>
      </c>
      <c r="G25">
        <v>0</v>
      </c>
    </row>
  </sheetData>
  <conditionalFormatting sqref="B2:G25">
    <cfRule type="colorScale" priority="1">
      <colorScale>
        <cfvo type="percent" val="0"/>
        <cfvo type="percent" val="50"/>
        <cfvo type="percent" val="100"/>
        <color theme="4" tint="0.79998168889431442"/>
        <color theme="4" tint="0.39997558519241921"/>
        <color theme="4" tint="-0.249977111117893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82B07-3BC2-44B8-94F7-20A61C06490A}">
  <dimension ref="A1:B6"/>
  <sheetViews>
    <sheetView workbookViewId="0">
      <selection sqref="A1:B6"/>
    </sheetView>
  </sheetViews>
  <sheetFormatPr defaultRowHeight="14.4" x14ac:dyDescent="0.3"/>
  <cols>
    <col min="1" max="1" width="21.77734375" bestFit="1" customWidth="1"/>
    <col min="2" max="2" width="11.5546875" customWidth="1"/>
  </cols>
  <sheetData>
    <row r="1" spans="1:2" x14ac:dyDescent="0.3">
      <c r="A1" t="s">
        <v>7</v>
      </c>
      <c r="B1" t="s">
        <v>8</v>
      </c>
    </row>
    <row r="2" spans="1:2" x14ac:dyDescent="0.3">
      <c r="A2" s="2" t="s">
        <v>9</v>
      </c>
      <c r="B2">
        <v>500</v>
      </c>
    </row>
    <row r="3" spans="1:2" x14ac:dyDescent="0.3">
      <c r="A3" s="2" t="s">
        <v>10</v>
      </c>
      <c r="B3">
        <v>352</v>
      </c>
    </row>
    <row r="4" spans="1:2" x14ac:dyDescent="0.3">
      <c r="A4" s="2" t="s">
        <v>11</v>
      </c>
      <c r="B4">
        <v>0.70399999999999996</v>
      </c>
    </row>
    <row r="5" spans="1:2" x14ac:dyDescent="0.3">
      <c r="A5" s="2" t="s">
        <v>12</v>
      </c>
      <c r="B5">
        <v>11.4</v>
      </c>
    </row>
    <row r="6" spans="1:2" x14ac:dyDescent="0.3">
      <c r="A6" s="2" t="s">
        <v>13</v>
      </c>
      <c r="B6">
        <v>0.252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1F1F6C-4DF8-4C47-BD72-341627DAB8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Insights</vt:lpstr>
      <vt:lpstr>churn_reasons</vt:lpstr>
      <vt:lpstr>churn_trend_over_time</vt:lpstr>
      <vt:lpstr>support_vs_churn</vt:lpstr>
      <vt:lpstr>tenure_distribution</vt:lpstr>
      <vt:lpstr>churn_by_plan</vt:lpstr>
      <vt:lpstr>Data_Cohorts</vt:lpstr>
      <vt:lpstr>Data_KPIs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Lambar</dc:creator>
  <cp:lastModifiedBy>Bhavesh Lambar</cp:lastModifiedBy>
  <dcterms:created xsi:type="dcterms:W3CDTF">2026-01-14T09:36:26Z</dcterms:created>
  <dcterms:modified xsi:type="dcterms:W3CDTF">2026-01-14T12:02:13Z</dcterms:modified>
</cp:coreProperties>
</file>